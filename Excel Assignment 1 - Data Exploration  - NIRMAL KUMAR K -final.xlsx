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sanna balaji\Downloads\"/>
    </mc:Choice>
  </mc:AlternateContent>
  <xr:revisionPtr revIDLastSave="0" documentId="13_ncr:1_{A29CA45F-8F78-4176-B2CC-B308F4A2E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14" i="1" l="1"/>
  <c r="N17" i="1"/>
  <c r="N11" i="1"/>
  <c r="N9" i="1"/>
  <c r="N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" i="1"/>
  <c r="A4" i="1"/>
  <c r="A5" i="1"/>
  <c r="A6" i="1"/>
  <c r="A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I4" i="1"/>
  <c r="I5" i="1"/>
  <c r="I2" i="1"/>
  <c r="N2" i="1" l="1"/>
  <c r="N6" i="1"/>
</calcChain>
</file>

<file path=xl/sharedStrings.xml><?xml version="1.0" encoding="utf-8"?>
<sst xmlns="http://schemas.openxmlformats.org/spreadsheetml/2006/main" count="164" uniqueCount="123">
  <si>
    <t>Product ID</t>
  </si>
  <si>
    <t>Product Name</t>
  </si>
  <si>
    <t>Brand Name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</si>
  <si>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</si>
  <si>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</si>
  <si>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</si>
  <si>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</si>
  <si>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</si>
  <si>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</si>
  <si>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</si>
  <si>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</si>
  <si>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</si>
  <si>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</si>
  <si>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</si>
  <si>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</si>
  <si>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</si>
  <si>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</si>
  <si>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</si>
  <si>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</si>
  <si>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</si>
  <si>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</si>
  <si>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</si>
  <si>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</si>
  <si>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</si>
  <si>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</si>
  <si>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</si>
  <si>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</si>
  <si>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</si>
  <si>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</si>
  <si>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</si>
  <si>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</si>
  <si>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</si>
  <si>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</si>
  <si>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</si>
  <si>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</si>
  <si>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</si>
  <si>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</si>
  <si>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</si>
  <si>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</si>
  <si>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</si>
  <si>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</si>
  <si>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</si>
  <si>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</si>
  <si>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</si>
  <si>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</si>
  <si>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</si>
  <si>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</si>
  <si>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</si>
  <si>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</si>
  <si>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</si>
  <si>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</si>
  <si>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</si>
  <si>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</si>
  <si>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</si>
  <si>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</si>
  <si>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</si>
  <si>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</si>
  <si>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</si>
  <si>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</si>
  <si>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</si>
  <si>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</si>
  <si>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</si>
  <si>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</si>
  <si>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</si>
  <si>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</si>
  <si>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</si>
  <si>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</si>
  <si>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</si>
  <si>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</si>
  <si>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</si>
  <si>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</si>
  <si>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</si>
  <si>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</si>
  <si>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</si>
  <si>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</si>
  <si>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</si>
  <si>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</si>
  <si>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</si>
  <si>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</si>
  <si>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</si>
  <si>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</si>
  <si>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</si>
  <si>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</si>
  <si>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</si>
  <si>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</si>
  <si>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</si>
  <si>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</si>
  <si>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</si>
  <si>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</si>
  <si>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</si>
  <si>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</si>
  <si>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</si>
  <si>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 value</t>
  </si>
  <si>
    <t>Price (Rs)</t>
  </si>
  <si>
    <t>QUESTIONS</t>
  </si>
  <si>
    <t>FINDINGS</t>
  </si>
  <si>
    <t>Price range</t>
  </si>
  <si>
    <t>Day</t>
  </si>
  <si>
    <t xml:space="preserve">Country code </t>
  </si>
  <si>
    <t>Month</t>
  </si>
  <si>
    <t>Duplicates entries</t>
  </si>
  <si>
    <t>Rows</t>
  </si>
  <si>
    <t>Laptops ( HP )</t>
  </si>
  <si>
    <t>Laptops bags</t>
  </si>
  <si>
    <t>11 and 33</t>
  </si>
  <si>
    <t>16 and 23</t>
  </si>
  <si>
    <t>15 and 28</t>
  </si>
  <si>
    <t>headphones ( But differences in price so I have mentioned both prices )</t>
  </si>
  <si>
    <t xml:space="preserve">Formulas </t>
  </si>
  <si>
    <t>SUM(I2:I33)</t>
  </si>
  <si>
    <t>COUNTA(E2:E33)</t>
  </si>
  <si>
    <t>AVERAGE(I2:I33)</t>
  </si>
  <si>
    <t>MIN(G2:G33)</t>
  </si>
  <si>
    <t>MAX(G2:G33)</t>
  </si>
  <si>
    <t>SUMIF(J2:J33,"ELECTRONICS",G2:G33)</t>
  </si>
  <si>
    <t>COUNTIF(G2:G33,"&lt;100")</t>
  </si>
  <si>
    <t xml:space="preserve">1) .The total price of all products in the dataset    </t>
  </si>
  <si>
    <t>2).How many products exist in the dataset</t>
  </si>
  <si>
    <t>3).The average price of the products</t>
  </si>
  <si>
    <t>4).The minimum price among all products.</t>
  </si>
  <si>
    <t>5).The maximum price among all products.</t>
  </si>
  <si>
    <t>6).SUMIF function to calculate the total price of products in the Electronics category.</t>
  </si>
  <si>
    <t>7).COUNTIF function to determine the number of products with a price less than $100.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</si>
</sst>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164" fontId="0" fillId="0" borderId="0" xfId="0" applyNumberFormat="1"/>
    <xf numFmtId="0" fontId="5" fillId="2" borderId="1" xfId="0" applyFont="1" applyFill="1" applyBorder="1" applyAlignment="1">
      <alignment horizontal="center" vertical="top"/>
    </xf>
    <xf numFmtId="164" fontId="5" fillId="2" borderId="1" xfId="0" applyNumberFormat="1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164" fontId="7" fillId="0" borderId="1" xfId="0" applyNumberFormat="1" applyFont="1" applyBorder="1" applyAlignment="1">
      <alignment horizontal="right" vertical="top"/>
    </xf>
    <xf numFmtId="164" fontId="7" fillId="3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164" fontId="7" fillId="0" borderId="1" xfId="0" applyNumberFormat="1" applyFont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center"/>
    </xf>
    <xf numFmtId="0" fontId="4" fillId="2" borderId="12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left"/>
    </xf>
    <xf numFmtId="164" fontId="0" fillId="0" borderId="7" xfId="0" applyNumberForma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0" xfId="0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9"/>
  <sheetViews>
    <sheetView tabSelected="1" workbookViewId="0">
      <selection activeCell="O25" sqref="O25"/>
    </sheetView>
  </sheetViews>
  <sheetFormatPr defaultColWidth="12.6640625" defaultRowHeight="15" customHeight="1" x14ac:dyDescent="0.25"/>
  <cols>
    <col min="5" max="5" width="14.109375" style="15" customWidth="1"/>
    <col min="6" max="6" width="12.6640625" style="15"/>
    <col min="7" max="7" width="12.6640625" style="16"/>
    <col min="8" max="8" width="12.6640625" style="15"/>
    <col min="9" max="9" width="13.44140625" style="4" bestFit="1" customWidth="1"/>
    <col min="10" max="10" width="11" style="15" bestFit="1" customWidth="1"/>
    <col min="11" max="11" width="11" style="41" customWidth="1"/>
    <col min="12" max="12" width="8.109375" customWidth="1"/>
    <col min="13" max="13" width="61.77734375" customWidth="1"/>
    <col min="14" max="14" width="13.5546875" style="15" customWidth="1"/>
    <col min="15" max="15" width="36.21875" customWidth="1"/>
  </cols>
  <sheetData>
    <row r="1" spans="1:15" s="15" customFormat="1" ht="15.75" customHeight="1" x14ac:dyDescent="0.25">
      <c r="A1" s="5" t="s">
        <v>97</v>
      </c>
      <c r="B1" s="5" t="s">
        <v>98</v>
      </c>
      <c r="C1" s="5" t="s">
        <v>99</v>
      </c>
      <c r="D1" s="5" t="s">
        <v>0</v>
      </c>
      <c r="E1" s="5" t="s">
        <v>1</v>
      </c>
      <c r="F1" s="5" t="s">
        <v>2</v>
      </c>
      <c r="G1" s="6" t="s">
        <v>93</v>
      </c>
      <c r="H1" s="5" t="s">
        <v>3</v>
      </c>
      <c r="I1" s="6" t="s">
        <v>92</v>
      </c>
      <c r="J1" s="5" t="s">
        <v>4</v>
      </c>
      <c r="K1" s="5" t="s">
        <v>96</v>
      </c>
      <c r="L1" s="1"/>
      <c r="M1" s="34" t="s">
        <v>94</v>
      </c>
      <c r="N1" s="24" t="s">
        <v>95</v>
      </c>
      <c r="O1" s="35" t="s">
        <v>108</v>
      </c>
    </row>
    <row r="2" spans="1:15" ht="15.75" customHeight="1" x14ac:dyDescent="0.25">
      <c r="A2" s="11" t="str">
        <f>LEFT(D2,2)</f>
        <v>28</v>
      </c>
      <c r="B2" s="11" t="str">
        <f>RIGHT(D2,2)</f>
        <v>US</v>
      </c>
      <c r="C2" s="11" t="str">
        <f>MID(D2,4,6)</f>
        <v>JAN-US</v>
      </c>
      <c r="D2" s="12" t="s">
        <v>5</v>
      </c>
      <c r="E2" s="7" t="s">
        <v>6</v>
      </c>
      <c r="F2" s="7" t="s">
        <v>7</v>
      </c>
      <c r="G2" s="9">
        <v>1000</v>
      </c>
      <c r="H2" s="7">
        <v>30</v>
      </c>
      <c r="I2" s="13">
        <f>G2*H2</f>
        <v>30000</v>
      </c>
      <c r="J2" s="7" t="s">
        <v>8</v>
      </c>
      <c r="K2" s="7" t="str">
        <f>IF(G2&gt;=500,"HIGH","STANDARD")</f>
        <v>HIGH</v>
      </c>
      <c r="L2" s="2"/>
      <c r="M2" s="36" t="s">
        <v>116</v>
      </c>
      <c r="N2" s="18">
        <f>SUM(I2:I33)</f>
        <v>264200</v>
      </c>
      <c r="O2" s="37" t="s">
        <v>109</v>
      </c>
    </row>
    <row r="3" spans="1:15" ht="15.75" customHeight="1" x14ac:dyDescent="0.25">
      <c r="A3" s="11" t="str">
        <f>LEFT(D3,2)</f>
        <v>15</v>
      </c>
      <c r="B3" s="11" t="str">
        <f>RIGHT(D3,2)</f>
        <v>US</v>
      </c>
      <c r="C3" s="11" t="str">
        <f>MID(D3,4,6)</f>
        <v>FEB-US</v>
      </c>
      <c r="D3" s="14" t="s">
        <v>9</v>
      </c>
      <c r="E3" s="8" t="s">
        <v>10</v>
      </c>
      <c r="F3" s="8" t="s">
        <v>11</v>
      </c>
      <c r="G3" s="10">
        <v>80</v>
      </c>
      <c r="H3" s="8">
        <v>15</v>
      </c>
      <c r="I3" s="13">
        <f>G3*H3</f>
        <v>1200</v>
      </c>
      <c r="J3" s="8" t="s">
        <v>12</v>
      </c>
      <c r="K3" s="7" t="str">
        <f>IF(G3&gt;=500,"HIGH","STANDARD")</f>
        <v>STANDARD</v>
      </c>
      <c r="L3" s="2"/>
      <c r="M3" s="26"/>
      <c r="N3" s="19"/>
      <c r="O3" s="27"/>
    </row>
    <row r="4" spans="1:15" ht="15.75" customHeight="1" x14ac:dyDescent="0.25">
      <c r="A4" s="11" t="str">
        <f>LEFT(D4,2)</f>
        <v>03</v>
      </c>
      <c r="B4" s="11" t="str">
        <f>RIGHT(D4,2)</f>
        <v>US</v>
      </c>
      <c r="C4" s="11" t="str">
        <f>MID(D4,4,6)</f>
        <v>MAR-US</v>
      </c>
      <c r="D4" s="12" t="s">
        <v>13</v>
      </c>
      <c r="E4" s="7" t="s">
        <v>14</v>
      </c>
      <c r="F4" s="7" t="s">
        <v>15</v>
      </c>
      <c r="G4" s="9">
        <v>130</v>
      </c>
      <c r="H4" s="7">
        <v>40</v>
      </c>
      <c r="I4" s="13">
        <f>G4*H4</f>
        <v>5200</v>
      </c>
      <c r="J4" s="7" t="s">
        <v>16</v>
      </c>
      <c r="K4" s="7" t="str">
        <f>IF(G4&gt;=500,"HIGH","STANDARD")</f>
        <v>STANDARD</v>
      </c>
      <c r="L4" s="2"/>
      <c r="M4" s="36" t="s">
        <v>117</v>
      </c>
      <c r="N4" s="20">
        <f>COUNTA(E2:E33)</f>
        <v>32</v>
      </c>
      <c r="O4" s="27" t="s">
        <v>110</v>
      </c>
    </row>
    <row r="5" spans="1:15" ht="15.75" customHeight="1" x14ac:dyDescent="0.25">
      <c r="A5" s="11" t="str">
        <f>LEFT(D5,2)</f>
        <v>11</v>
      </c>
      <c r="B5" s="11" t="str">
        <f>RIGHT(D5,2)</f>
        <v>US</v>
      </c>
      <c r="C5" s="11" t="str">
        <f>MID(D5,4,6)</f>
        <v>APR-US</v>
      </c>
      <c r="D5" s="14" t="s">
        <v>17</v>
      </c>
      <c r="E5" s="8" t="s">
        <v>18</v>
      </c>
      <c r="F5" s="8" t="s">
        <v>19</v>
      </c>
      <c r="G5" s="10">
        <v>900</v>
      </c>
      <c r="H5" s="8">
        <v>25</v>
      </c>
      <c r="I5" s="13">
        <f>G5*H5</f>
        <v>22500</v>
      </c>
      <c r="J5" s="8" t="s">
        <v>8</v>
      </c>
      <c r="K5" s="7" t="str">
        <f>IF(G5&gt;=500,"HIGH","STANDARD")</f>
        <v>HIGH</v>
      </c>
      <c r="L5" s="2"/>
      <c r="M5" s="26"/>
      <c r="N5" s="19"/>
      <c r="O5" s="27"/>
    </row>
    <row r="6" spans="1:15" ht="15.75" customHeight="1" x14ac:dyDescent="0.25">
      <c r="A6" s="11" t="str">
        <f>LEFT(D6,2)</f>
        <v>22</v>
      </c>
      <c r="B6" s="11" t="str">
        <f>RIGHT(D6,2)</f>
        <v>US</v>
      </c>
      <c r="C6" s="11" t="str">
        <f>MID(D6,4,6)</f>
        <v>MAY-US</v>
      </c>
      <c r="D6" s="12" t="s">
        <v>20</v>
      </c>
      <c r="E6" s="7" t="s">
        <v>21</v>
      </c>
      <c r="F6" s="7" t="s">
        <v>22</v>
      </c>
      <c r="G6" s="9">
        <v>70</v>
      </c>
      <c r="H6" s="7">
        <v>20</v>
      </c>
      <c r="I6" s="13">
        <f>G6*H6</f>
        <v>1400</v>
      </c>
      <c r="J6" s="7" t="s">
        <v>23</v>
      </c>
      <c r="K6" s="7" t="str">
        <f>IF(G6&gt;=500,"HIGH","STANDARD")</f>
        <v>STANDARD</v>
      </c>
      <c r="L6" s="2"/>
      <c r="M6" s="36" t="s">
        <v>118</v>
      </c>
      <c r="N6" s="21">
        <f>AVERAGE(I2:I33)</f>
        <v>8256.25</v>
      </c>
      <c r="O6" s="27" t="s">
        <v>111</v>
      </c>
    </row>
    <row r="7" spans="1:15" ht="15.75" customHeight="1" x14ac:dyDescent="0.25">
      <c r="A7" s="11" t="str">
        <f>LEFT(D7,2)</f>
        <v>07</v>
      </c>
      <c r="B7" s="11" t="str">
        <f>RIGHT(D7,2)</f>
        <v>UK</v>
      </c>
      <c r="C7" s="11" t="str">
        <f>MID(D7,4,6)</f>
        <v>JUN-UK</v>
      </c>
      <c r="D7" s="14" t="s">
        <v>24</v>
      </c>
      <c r="E7" s="8" t="s">
        <v>25</v>
      </c>
      <c r="F7" s="8" t="s">
        <v>26</v>
      </c>
      <c r="G7" s="10">
        <v>200</v>
      </c>
      <c r="H7" s="8">
        <v>45</v>
      </c>
      <c r="I7" s="13">
        <f>G7*H7</f>
        <v>9000</v>
      </c>
      <c r="J7" s="8" t="s">
        <v>8</v>
      </c>
      <c r="K7" s="7" t="str">
        <f>IF(G7&gt;=500,"HIGH","STANDARD")</f>
        <v>STANDARD</v>
      </c>
      <c r="L7" s="2"/>
      <c r="M7" s="26"/>
      <c r="N7" s="19"/>
      <c r="O7" s="27"/>
    </row>
    <row r="8" spans="1:15" ht="15.75" customHeight="1" x14ac:dyDescent="0.25">
      <c r="A8" s="11" t="str">
        <f>LEFT(D8,2)</f>
        <v>19</v>
      </c>
      <c r="B8" s="11" t="str">
        <f>RIGHT(D8,2)</f>
        <v>UK</v>
      </c>
      <c r="C8" s="11" t="str">
        <f>MID(D8,4,6)</f>
        <v>JUL-UK</v>
      </c>
      <c r="D8" s="12" t="s">
        <v>27</v>
      </c>
      <c r="E8" s="7" t="s">
        <v>28</v>
      </c>
      <c r="F8" s="7" t="s">
        <v>29</v>
      </c>
      <c r="G8" s="9">
        <v>30</v>
      </c>
      <c r="H8" s="7">
        <v>5</v>
      </c>
      <c r="I8" s="13">
        <f>G8*H8</f>
        <v>150</v>
      </c>
      <c r="J8" s="7" t="s">
        <v>12</v>
      </c>
      <c r="K8" s="7" t="str">
        <f>IF(G8&gt;=500,"HIGH","STANDARD")</f>
        <v>STANDARD</v>
      </c>
      <c r="L8" s="2"/>
      <c r="M8" s="26"/>
      <c r="N8" s="19"/>
      <c r="O8" s="27"/>
    </row>
    <row r="9" spans="1:15" ht="15.75" customHeight="1" x14ac:dyDescent="0.25">
      <c r="A9" s="11" t="str">
        <f>LEFT(D9,2)</f>
        <v>23</v>
      </c>
      <c r="B9" s="11" t="str">
        <f>RIGHT(D9,2)</f>
        <v>UK</v>
      </c>
      <c r="C9" s="11" t="str">
        <f>MID(D9,4,6)</f>
        <v>AUG-UK</v>
      </c>
      <c r="D9" s="14" t="s">
        <v>30</v>
      </c>
      <c r="E9" s="8" t="s">
        <v>31</v>
      </c>
      <c r="F9" s="8" t="s">
        <v>32</v>
      </c>
      <c r="G9" s="10">
        <v>90</v>
      </c>
      <c r="H9" s="8">
        <v>35</v>
      </c>
      <c r="I9" s="13">
        <f>G9*H9</f>
        <v>3150</v>
      </c>
      <c r="J9" s="8" t="s">
        <v>16</v>
      </c>
      <c r="K9" s="7" t="str">
        <f>IF(G9&gt;=500,"HIGH","STANDARD")</f>
        <v>STANDARD</v>
      </c>
      <c r="L9" s="2"/>
      <c r="M9" s="36" t="s">
        <v>119</v>
      </c>
      <c r="N9" s="21">
        <f>MIN(G2:G33)</f>
        <v>30</v>
      </c>
      <c r="O9" s="27" t="s">
        <v>112</v>
      </c>
    </row>
    <row r="10" spans="1:15" ht="15.75" customHeight="1" x14ac:dyDescent="0.25">
      <c r="A10" s="11" t="str">
        <f>LEFT(D10,2)</f>
        <v>05</v>
      </c>
      <c r="B10" s="11" t="str">
        <f>RIGHT(D10,2)</f>
        <v>UK</v>
      </c>
      <c r="C10" s="11" t="str">
        <f>MID(D10,4,6)</f>
        <v>SEP-UK</v>
      </c>
      <c r="D10" s="12" t="s">
        <v>33</v>
      </c>
      <c r="E10" s="7" t="s">
        <v>34</v>
      </c>
      <c r="F10" s="7" t="s">
        <v>35</v>
      </c>
      <c r="G10" s="9">
        <v>500</v>
      </c>
      <c r="H10" s="7">
        <v>50</v>
      </c>
      <c r="I10" s="13">
        <f>G10*H10</f>
        <v>25000</v>
      </c>
      <c r="J10" s="7" t="s">
        <v>8</v>
      </c>
      <c r="K10" s="7" t="str">
        <f>IF(G10&gt;=500,"HIGH","STANDARD")</f>
        <v>HIGH</v>
      </c>
      <c r="L10" s="2"/>
      <c r="M10" s="26"/>
      <c r="N10" s="19"/>
      <c r="O10" s="27"/>
    </row>
    <row r="11" spans="1:15" ht="15.75" customHeight="1" x14ac:dyDescent="0.25">
      <c r="A11" s="11" t="str">
        <f>LEFT(D11,2)</f>
        <v>14</v>
      </c>
      <c r="B11" s="11" t="str">
        <f>RIGHT(D11,2)</f>
        <v>UK</v>
      </c>
      <c r="C11" s="11" t="str">
        <f>MID(D11,4,6)</f>
        <v>OCT-UK</v>
      </c>
      <c r="D11" s="14" t="s">
        <v>36</v>
      </c>
      <c r="E11" s="8" t="s">
        <v>37</v>
      </c>
      <c r="F11" s="8" t="s">
        <v>38</v>
      </c>
      <c r="G11" s="10">
        <v>130</v>
      </c>
      <c r="H11" s="8">
        <v>10</v>
      </c>
      <c r="I11" s="13">
        <f>G11*H11</f>
        <v>1300</v>
      </c>
      <c r="J11" s="8" t="s">
        <v>23</v>
      </c>
      <c r="K11" s="7" t="str">
        <f>IF(G11&gt;=500,"HIGH","STANDARD")</f>
        <v>STANDARD</v>
      </c>
      <c r="L11" s="2"/>
      <c r="M11" s="36" t="s">
        <v>120</v>
      </c>
      <c r="N11" s="21">
        <f>MAX(G2:G33)</f>
        <v>1000</v>
      </c>
      <c r="O11" s="27" t="s">
        <v>113</v>
      </c>
    </row>
    <row r="12" spans="1:15" ht="15.75" customHeight="1" x14ac:dyDescent="0.25">
      <c r="A12" s="11" t="str">
        <f>LEFT(D12,2)</f>
        <v>17</v>
      </c>
      <c r="B12" s="11" t="str">
        <f>RIGHT(D12,2)</f>
        <v>IN</v>
      </c>
      <c r="C12" s="11" t="str">
        <f>MID(D12,4,6)</f>
        <v>JUN-IN</v>
      </c>
      <c r="D12" s="12" t="s">
        <v>39</v>
      </c>
      <c r="E12" s="7" t="s">
        <v>6</v>
      </c>
      <c r="F12" s="7" t="s">
        <v>40</v>
      </c>
      <c r="G12" s="9">
        <v>950</v>
      </c>
      <c r="H12" s="7">
        <v>25</v>
      </c>
      <c r="I12" s="13">
        <f>G12*H12</f>
        <v>23750</v>
      </c>
      <c r="J12" s="7" t="s">
        <v>8</v>
      </c>
      <c r="K12" s="7" t="str">
        <f>IF(G12&gt;=500,"HIGH","STANDARD")</f>
        <v>HIGH</v>
      </c>
      <c r="L12" s="2"/>
      <c r="M12" s="26"/>
      <c r="N12" s="19"/>
      <c r="O12" s="27"/>
    </row>
    <row r="13" spans="1:15" ht="15.75" customHeight="1" x14ac:dyDescent="0.25">
      <c r="A13" s="11" t="str">
        <f>LEFT(D13,2)</f>
        <v>25</v>
      </c>
      <c r="B13" s="11" t="str">
        <f>RIGHT(D13,2)</f>
        <v>AU</v>
      </c>
      <c r="C13" s="11" t="str">
        <f>MID(D13,4,6)</f>
        <v>NOV-AU</v>
      </c>
      <c r="D13" s="14" t="s">
        <v>41</v>
      </c>
      <c r="E13" s="8" t="s">
        <v>10</v>
      </c>
      <c r="F13" s="8" t="s">
        <v>29</v>
      </c>
      <c r="G13" s="10">
        <v>90</v>
      </c>
      <c r="H13" s="8">
        <v>40</v>
      </c>
      <c r="I13" s="13">
        <f>G13*H13</f>
        <v>3600</v>
      </c>
      <c r="J13" s="8" t="s">
        <v>12</v>
      </c>
      <c r="K13" s="7" t="str">
        <f>IF(G13&gt;=500,"HIGH","STANDARD")</f>
        <v>STANDARD</v>
      </c>
      <c r="L13" s="2"/>
      <c r="M13" s="26"/>
      <c r="N13" s="19"/>
      <c r="O13" s="27"/>
    </row>
    <row r="14" spans="1:15" ht="15.75" customHeight="1" x14ac:dyDescent="0.25">
      <c r="A14" s="11" t="str">
        <f>LEFT(D14,2)</f>
        <v>08</v>
      </c>
      <c r="B14" s="11" t="str">
        <f>RIGHT(D14,2)</f>
        <v>DE</v>
      </c>
      <c r="C14" s="11" t="str">
        <f>MID(D14,4,6)</f>
        <v>DEC-DE</v>
      </c>
      <c r="D14" s="12" t="s">
        <v>42</v>
      </c>
      <c r="E14" s="7" t="s">
        <v>14</v>
      </c>
      <c r="F14" s="7" t="s">
        <v>43</v>
      </c>
      <c r="G14" s="9">
        <v>120</v>
      </c>
      <c r="H14" s="7">
        <v>35</v>
      </c>
      <c r="I14" s="13">
        <f>G14*H14</f>
        <v>4200</v>
      </c>
      <c r="J14" s="7" t="s">
        <v>16</v>
      </c>
      <c r="K14" s="7" t="str">
        <f>IF(G14&gt;=500,"HIGH","STANDARD")</f>
        <v>STANDARD</v>
      </c>
      <c r="L14" s="2"/>
      <c r="M14" s="36" t="s">
        <v>121</v>
      </c>
      <c r="N14" s="19">
        <f>SUMIF(J2:J33,"ELECTRONICS",G2:G33)</f>
        <v>7100</v>
      </c>
      <c r="O14" s="27" t="s">
        <v>114</v>
      </c>
    </row>
    <row r="15" spans="1:15" ht="15.75" customHeight="1" x14ac:dyDescent="0.25">
      <c r="A15" s="11" t="str">
        <f>LEFT(D15,2)</f>
        <v>18</v>
      </c>
      <c r="B15" s="11" t="str">
        <f>RIGHT(D15,2)</f>
        <v>CA</v>
      </c>
      <c r="C15" s="11" t="str">
        <f>MID(D15,4,6)</f>
        <v>FEB-CA</v>
      </c>
      <c r="D15" s="14" t="s">
        <v>44</v>
      </c>
      <c r="E15" s="8" t="s">
        <v>45</v>
      </c>
      <c r="F15" s="8" t="s">
        <v>46</v>
      </c>
      <c r="G15" s="10">
        <v>150</v>
      </c>
      <c r="H15" s="8">
        <v>15</v>
      </c>
      <c r="I15" s="13">
        <f>G15*H15</f>
        <v>2250</v>
      </c>
      <c r="J15" s="8" t="s">
        <v>8</v>
      </c>
      <c r="K15" s="7" t="str">
        <f>IF(G15&gt;=500,"HIGH","STANDARD")</f>
        <v>STANDARD</v>
      </c>
      <c r="L15" s="2"/>
      <c r="M15" s="26"/>
      <c r="N15" s="19"/>
      <c r="O15" s="27"/>
    </row>
    <row r="16" spans="1:15" ht="15.75" customHeight="1" x14ac:dyDescent="0.25">
      <c r="A16" s="11" t="str">
        <f>LEFT(D16,2)</f>
        <v>16</v>
      </c>
      <c r="B16" s="11" t="str">
        <f>RIGHT(D16,2)</f>
        <v>ES</v>
      </c>
      <c r="C16" s="11" t="str">
        <f>MID(D16,4,6)</f>
        <v>APR-ES</v>
      </c>
      <c r="D16" s="12" t="s">
        <v>47</v>
      </c>
      <c r="E16" s="7" t="s">
        <v>25</v>
      </c>
      <c r="F16" s="7" t="s">
        <v>48</v>
      </c>
      <c r="G16" s="9">
        <v>250</v>
      </c>
      <c r="H16" s="7">
        <v>20</v>
      </c>
      <c r="I16" s="13">
        <f>G16*H16</f>
        <v>5000</v>
      </c>
      <c r="J16" s="7" t="s">
        <v>8</v>
      </c>
      <c r="K16" s="7" t="str">
        <f>IF(G16&gt;=500,"HIGH","STANDARD")</f>
        <v>STANDARD</v>
      </c>
      <c r="L16" s="2"/>
      <c r="M16" s="38"/>
      <c r="N16" s="19"/>
      <c r="O16" s="27"/>
    </row>
    <row r="17" spans="1:15" ht="15.75" customHeight="1" thickBot="1" x14ac:dyDescent="0.3">
      <c r="A17" s="11" t="str">
        <f>LEFT(D17,2)</f>
        <v>21</v>
      </c>
      <c r="B17" s="11" t="str">
        <f>RIGHT(D17,2)</f>
        <v>CA</v>
      </c>
      <c r="C17" s="11" t="str">
        <f>MID(D17,4,6)</f>
        <v>AUG-CA</v>
      </c>
      <c r="D17" s="14" t="s">
        <v>49</v>
      </c>
      <c r="E17" s="8" t="s">
        <v>50</v>
      </c>
      <c r="F17" s="8" t="s">
        <v>51</v>
      </c>
      <c r="G17" s="10">
        <v>50</v>
      </c>
      <c r="H17" s="8">
        <v>35</v>
      </c>
      <c r="I17" s="13">
        <f>G17*H17</f>
        <v>1750</v>
      </c>
      <c r="J17" s="8" t="s">
        <v>52</v>
      </c>
      <c r="K17" s="7" t="str">
        <f>IF(G17&gt;=500,"HIGH","STANDARD")</f>
        <v>STANDARD</v>
      </c>
      <c r="L17" s="2"/>
      <c r="M17" s="39" t="s">
        <v>122</v>
      </c>
      <c r="N17" s="40">
        <f>COUNTIF(G2:G33,"&lt;100")</f>
        <v>10</v>
      </c>
      <c r="O17" s="30" t="s">
        <v>115</v>
      </c>
    </row>
    <row r="18" spans="1:15" ht="15.75" customHeight="1" x14ac:dyDescent="0.25">
      <c r="A18" s="11" t="str">
        <f>LEFT(D18,2)</f>
        <v>20</v>
      </c>
      <c r="B18" s="11" t="str">
        <f>RIGHT(D18,2)</f>
        <v>CN</v>
      </c>
      <c r="C18" s="11" t="str">
        <f>MID(D18,4,6)</f>
        <v>AUG-CN</v>
      </c>
      <c r="D18" s="12" t="s">
        <v>53</v>
      </c>
      <c r="E18" s="7" t="s">
        <v>45</v>
      </c>
      <c r="F18" s="7" t="s">
        <v>54</v>
      </c>
      <c r="G18" s="9">
        <v>160</v>
      </c>
      <c r="H18" s="7">
        <v>15</v>
      </c>
      <c r="I18" s="13">
        <f>G18*H18</f>
        <v>2400</v>
      </c>
      <c r="J18" s="7" t="s">
        <v>8</v>
      </c>
      <c r="K18" s="7" t="str">
        <f>IF(G18&gt;=500,"HIGH","STANDARD")</f>
        <v>STANDARD</v>
      </c>
      <c r="L18" s="2"/>
      <c r="M18" s="31"/>
      <c r="N18" s="32"/>
      <c r="O18" s="33"/>
    </row>
    <row r="19" spans="1:15" ht="15.75" customHeight="1" thickBot="1" x14ac:dyDescent="0.3">
      <c r="A19" s="11" t="str">
        <f>LEFT(D19,2)</f>
        <v>27</v>
      </c>
      <c r="B19" s="11" t="str">
        <f>RIGHT(D19,2)</f>
        <v>IT</v>
      </c>
      <c r="C19" s="11" t="str">
        <f>MID(D19,4,6)</f>
        <v>JAN-IT</v>
      </c>
      <c r="D19" s="14" t="s">
        <v>55</v>
      </c>
      <c r="E19" s="8" t="s">
        <v>6</v>
      </c>
      <c r="F19" s="8" t="s">
        <v>56</v>
      </c>
      <c r="G19" s="10">
        <v>980</v>
      </c>
      <c r="H19" s="8">
        <v>10</v>
      </c>
      <c r="I19" s="13">
        <f>G19*H19</f>
        <v>9800</v>
      </c>
      <c r="J19" s="8" t="s">
        <v>8</v>
      </c>
      <c r="K19" s="7" t="str">
        <f>IF(G19&gt;=500,"HIGH","STANDARD")</f>
        <v>HIGH</v>
      </c>
      <c r="L19" s="2"/>
      <c r="M19" s="22"/>
      <c r="N19" s="23"/>
      <c r="O19" s="23"/>
    </row>
    <row r="20" spans="1:15" ht="15.75" customHeight="1" x14ac:dyDescent="0.25">
      <c r="A20" s="11" t="str">
        <f>LEFT(D20,2)</f>
        <v>01</v>
      </c>
      <c r="B20" s="11" t="str">
        <f>RIGHT(D20,2)</f>
        <v>UK</v>
      </c>
      <c r="C20" s="11" t="str">
        <f>MID(D20,4,6)</f>
        <v>MAR-UK</v>
      </c>
      <c r="D20" s="12" t="s">
        <v>57</v>
      </c>
      <c r="E20" s="7" t="s">
        <v>58</v>
      </c>
      <c r="F20" s="7" t="s">
        <v>59</v>
      </c>
      <c r="G20" s="9">
        <v>150</v>
      </c>
      <c r="H20" s="7">
        <v>15</v>
      </c>
      <c r="I20" s="13">
        <f>G20*H20</f>
        <v>2250</v>
      </c>
      <c r="J20" s="7" t="s">
        <v>12</v>
      </c>
      <c r="K20" s="7" t="str">
        <f>IF(G20&gt;=500,"HIGH","STANDARD")</f>
        <v>STANDARD</v>
      </c>
      <c r="L20" s="2"/>
      <c r="M20" s="42" t="s">
        <v>100</v>
      </c>
      <c r="N20" s="24" t="s">
        <v>101</v>
      </c>
      <c r="O20" s="25"/>
    </row>
    <row r="21" spans="1:15" ht="15.75" customHeight="1" x14ac:dyDescent="0.25">
      <c r="A21" s="11" t="str">
        <f>LEFT(D21,2)</f>
        <v>14</v>
      </c>
      <c r="B21" s="11" t="str">
        <f>RIGHT(D21,2)</f>
        <v>US</v>
      </c>
      <c r="C21" s="11" t="str">
        <f>MID(D21,4,6)</f>
        <v>AUG-US</v>
      </c>
      <c r="D21" s="14" t="s">
        <v>60</v>
      </c>
      <c r="E21" s="8" t="s">
        <v>61</v>
      </c>
      <c r="F21" s="8" t="s">
        <v>62</v>
      </c>
      <c r="G21" s="10">
        <v>200</v>
      </c>
      <c r="H21" s="8">
        <v>10</v>
      </c>
      <c r="I21" s="13">
        <f>G21*H21</f>
        <v>2000</v>
      </c>
      <c r="J21" s="8" t="s">
        <v>23</v>
      </c>
      <c r="K21" s="7" t="str">
        <f>IF(G21&gt;=500,"HIGH","STANDARD")</f>
        <v>STANDARD</v>
      </c>
      <c r="L21" s="2"/>
      <c r="M21" s="26" t="s">
        <v>102</v>
      </c>
      <c r="N21" s="17" t="s">
        <v>104</v>
      </c>
      <c r="O21" s="27"/>
    </row>
    <row r="22" spans="1:15" ht="15.75" customHeight="1" x14ac:dyDescent="0.25">
      <c r="A22" s="11" t="str">
        <f>LEFT(D22,2)</f>
        <v>14</v>
      </c>
      <c r="B22" s="11" t="str">
        <f>RIGHT(D22,2)</f>
        <v>RU</v>
      </c>
      <c r="C22" s="11" t="str">
        <f>MID(D22,4,6)</f>
        <v>MAY-RU</v>
      </c>
      <c r="D22" s="12" t="s">
        <v>63</v>
      </c>
      <c r="E22" s="7" t="s">
        <v>64</v>
      </c>
      <c r="F22" s="7" t="s">
        <v>65</v>
      </c>
      <c r="G22" s="9">
        <v>700</v>
      </c>
      <c r="H22" s="7">
        <v>50</v>
      </c>
      <c r="I22" s="13">
        <f>G22*H22</f>
        <v>35000</v>
      </c>
      <c r="J22" s="7" t="s">
        <v>8</v>
      </c>
      <c r="K22" s="7" t="str">
        <f>IF(G22&gt;=500,"HIGH","STANDARD")</f>
        <v>HIGH</v>
      </c>
      <c r="L22" s="2"/>
      <c r="M22" s="26" t="s">
        <v>103</v>
      </c>
      <c r="N22" s="17" t="s">
        <v>105</v>
      </c>
      <c r="O22" s="27"/>
    </row>
    <row r="23" spans="1:15" ht="15.75" customHeight="1" thickBot="1" x14ac:dyDescent="0.3">
      <c r="A23" s="11" t="str">
        <f>LEFT(D23,2)</f>
        <v>09</v>
      </c>
      <c r="B23" s="11" t="str">
        <f>RIGHT(D23,2)</f>
        <v>CA</v>
      </c>
      <c r="C23" s="11" t="str">
        <f>MID(D23,4,6)</f>
        <v>JAN-CA</v>
      </c>
      <c r="D23" s="14" t="s">
        <v>66</v>
      </c>
      <c r="E23" s="8" t="s">
        <v>67</v>
      </c>
      <c r="F23" s="8" t="s">
        <v>68</v>
      </c>
      <c r="G23" s="10">
        <v>80</v>
      </c>
      <c r="H23" s="8">
        <v>20</v>
      </c>
      <c r="I23" s="13">
        <f>G23*H23</f>
        <v>1600</v>
      </c>
      <c r="J23" s="8" t="s">
        <v>16</v>
      </c>
      <c r="K23" s="7" t="str">
        <f>IF(G23&gt;=500,"HIGH","STANDARD")</f>
        <v>STANDARD</v>
      </c>
      <c r="L23" s="2"/>
      <c r="M23" s="28" t="s">
        <v>107</v>
      </c>
      <c r="N23" s="29" t="s">
        <v>106</v>
      </c>
      <c r="O23" s="30"/>
    </row>
    <row r="24" spans="1:15" ht="15.75" customHeight="1" x14ac:dyDescent="0.25">
      <c r="A24" s="11" t="str">
        <f>LEFT(D24,2)</f>
        <v>19</v>
      </c>
      <c r="B24" s="11" t="str">
        <f>RIGHT(D24,2)</f>
        <v>BR</v>
      </c>
      <c r="C24" s="11" t="str">
        <f>MID(D24,4,6)</f>
        <v>JUL-BR</v>
      </c>
      <c r="D24" s="12" t="s">
        <v>69</v>
      </c>
      <c r="E24" s="7" t="s">
        <v>70</v>
      </c>
      <c r="F24" s="7" t="s">
        <v>71</v>
      </c>
      <c r="G24" s="9">
        <v>150</v>
      </c>
      <c r="H24" s="7">
        <v>30</v>
      </c>
      <c r="I24" s="13">
        <f>G24*H24</f>
        <v>4500</v>
      </c>
      <c r="J24" s="7" t="s">
        <v>8</v>
      </c>
      <c r="K24" s="7" t="str">
        <f>IF(G24&gt;=500,"HIGH","STANDARD")</f>
        <v>STANDARD</v>
      </c>
      <c r="L24" s="2"/>
    </row>
    <row r="25" spans="1:15" ht="15.75" customHeight="1" x14ac:dyDescent="0.25">
      <c r="A25" s="11" t="str">
        <f>LEFT(D25,2)</f>
        <v>29</v>
      </c>
      <c r="B25" s="11" t="str">
        <f>RIGHT(D25,2)</f>
        <v>CA</v>
      </c>
      <c r="C25" s="11" t="str">
        <f>MID(D25,4,6)</f>
        <v>SEP-CA</v>
      </c>
      <c r="D25" s="12" t="s">
        <v>72</v>
      </c>
      <c r="E25" s="7" t="s">
        <v>18</v>
      </c>
      <c r="F25" s="7" t="s">
        <v>73</v>
      </c>
      <c r="G25" s="9">
        <v>800</v>
      </c>
      <c r="H25" s="7">
        <v>45</v>
      </c>
      <c r="I25" s="13">
        <f>G25*H25</f>
        <v>36000</v>
      </c>
      <c r="J25" s="7" t="s">
        <v>8</v>
      </c>
      <c r="K25" s="7" t="str">
        <f>IF(G25&gt;=500,"HIGH","STANDARD")</f>
        <v>HIGH</v>
      </c>
      <c r="L25" s="3"/>
    </row>
    <row r="26" spans="1:15" ht="15.75" customHeight="1" x14ac:dyDescent="0.25">
      <c r="A26" s="11" t="str">
        <f>LEFT(D26,2)</f>
        <v>03</v>
      </c>
      <c r="B26" s="11" t="str">
        <f>RIGHT(D26,2)</f>
        <v>CA</v>
      </c>
      <c r="C26" s="11" t="str">
        <f>MID(D26,4,6)</f>
        <v>JUN-CA</v>
      </c>
      <c r="D26" s="14" t="s">
        <v>74</v>
      </c>
      <c r="E26" s="8" t="s">
        <v>58</v>
      </c>
      <c r="F26" s="8" t="s">
        <v>75</v>
      </c>
      <c r="G26" s="10">
        <v>130</v>
      </c>
      <c r="H26" s="8">
        <v>25</v>
      </c>
      <c r="I26" s="13">
        <f>G26*H26</f>
        <v>3250</v>
      </c>
      <c r="J26" s="8" t="s">
        <v>12</v>
      </c>
      <c r="K26" s="7" t="str">
        <f>IF(G26&gt;=500,"HIGH","STANDARD")</f>
        <v>STANDARD</v>
      </c>
      <c r="L26" s="2"/>
    </row>
    <row r="27" spans="1:15" ht="15.75" customHeight="1" x14ac:dyDescent="0.25">
      <c r="A27" s="11" t="str">
        <f>LEFT(D27,2)</f>
        <v>11</v>
      </c>
      <c r="B27" s="11" t="str">
        <f>RIGHT(D27,2)</f>
        <v>CA</v>
      </c>
      <c r="C27" s="11" t="str">
        <f>MID(D27,4,6)</f>
        <v>JUL-CA</v>
      </c>
      <c r="D27" s="12" t="s">
        <v>76</v>
      </c>
      <c r="E27" s="7" t="s">
        <v>31</v>
      </c>
      <c r="F27" s="7" t="s">
        <v>77</v>
      </c>
      <c r="G27" s="9">
        <v>400</v>
      </c>
      <c r="H27" s="7">
        <v>40</v>
      </c>
      <c r="I27" s="13">
        <f>G27*H27</f>
        <v>16000</v>
      </c>
      <c r="J27" s="7" t="s">
        <v>16</v>
      </c>
      <c r="K27" s="7" t="str">
        <f>IF(G27&gt;=500,"HIGH","STANDARD")</f>
        <v>STANDARD</v>
      </c>
      <c r="L27" s="2"/>
    </row>
    <row r="28" spans="1:15" ht="15.75" customHeight="1" x14ac:dyDescent="0.25">
      <c r="A28" s="11" t="str">
        <f>LEFT(D28,2)</f>
        <v>16</v>
      </c>
      <c r="B28" s="11" t="str">
        <f>RIGHT(D28,2)</f>
        <v>ES</v>
      </c>
      <c r="C28" s="11" t="str">
        <f>MID(D28,4,6)</f>
        <v>APR-ES</v>
      </c>
      <c r="D28" s="14" t="s">
        <v>47</v>
      </c>
      <c r="E28" s="8" t="s">
        <v>25</v>
      </c>
      <c r="F28" s="8" t="s">
        <v>48</v>
      </c>
      <c r="G28" s="10">
        <v>230</v>
      </c>
      <c r="H28" s="8">
        <v>20</v>
      </c>
      <c r="I28" s="13">
        <f>G28*H28</f>
        <v>4600</v>
      </c>
      <c r="J28" s="8" t="s">
        <v>8</v>
      </c>
      <c r="K28" s="7" t="str">
        <f>IF(G28&gt;=500,"HIGH","STANDARD")</f>
        <v>STANDARD</v>
      </c>
      <c r="L28" s="2"/>
    </row>
    <row r="29" spans="1:15" ht="15.75" customHeight="1" x14ac:dyDescent="0.25">
      <c r="A29" s="11" t="str">
        <f>LEFT(D29,2)</f>
        <v>07</v>
      </c>
      <c r="B29" s="11" t="str">
        <f>RIGHT(D29,2)</f>
        <v>CA</v>
      </c>
      <c r="C29" s="11" t="str">
        <f>MID(D29,4,6)</f>
        <v>MAR-CA</v>
      </c>
      <c r="D29" s="12" t="s">
        <v>78</v>
      </c>
      <c r="E29" s="7" t="s">
        <v>79</v>
      </c>
      <c r="F29" s="7" t="s">
        <v>80</v>
      </c>
      <c r="G29" s="9">
        <v>60</v>
      </c>
      <c r="H29" s="7">
        <v>30</v>
      </c>
      <c r="I29" s="13">
        <f>G29*H29</f>
        <v>1800</v>
      </c>
      <c r="J29" s="7" t="s">
        <v>12</v>
      </c>
      <c r="K29" s="7" t="str">
        <f>IF(G29&gt;=500,"HIGH","STANDARD")</f>
        <v>STANDARD</v>
      </c>
      <c r="L29" s="3"/>
    </row>
    <row r="30" spans="1:15" ht="15.75" customHeight="1" x14ac:dyDescent="0.25">
      <c r="A30" s="11" t="str">
        <f>LEFT(D30,2)</f>
        <v>13</v>
      </c>
      <c r="B30" s="11" t="str">
        <f>RIGHT(D30,2)</f>
        <v>CA</v>
      </c>
      <c r="C30" s="11" t="str">
        <f>MID(D30,4,6)</f>
        <v>APR-CA</v>
      </c>
      <c r="D30" s="14" t="s">
        <v>81</v>
      </c>
      <c r="E30" s="8" t="s">
        <v>82</v>
      </c>
      <c r="F30" s="8" t="s">
        <v>83</v>
      </c>
      <c r="G30" s="10">
        <v>40</v>
      </c>
      <c r="H30" s="8">
        <v>10</v>
      </c>
      <c r="I30" s="13">
        <f>G30*H30</f>
        <v>400</v>
      </c>
      <c r="J30" s="8" t="s">
        <v>16</v>
      </c>
      <c r="K30" s="7" t="str">
        <f>IF(G30&gt;=500,"HIGH","STANDARD")</f>
        <v>STANDARD</v>
      </c>
      <c r="L30" s="2"/>
    </row>
    <row r="31" spans="1:15" ht="15.75" customHeight="1" x14ac:dyDescent="0.25">
      <c r="A31" s="11" t="str">
        <f>LEFT(D31,2)</f>
        <v>24</v>
      </c>
      <c r="B31" s="11" t="str">
        <f>RIGHT(D31,2)</f>
        <v>CA</v>
      </c>
      <c r="C31" s="11" t="str">
        <f>MID(D31,4,6)</f>
        <v>MAY-CA</v>
      </c>
      <c r="D31" s="12" t="s">
        <v>84</v>
      </c>
      <c r="E31" s="7" t="s">
        <v>70</v>
      </c>
      <c r="F31" s="7" t="s">
        <v>85</v>
      </c>
      <c r="G31" s="9">
        <v>130</v>
      </c>
      <c r="H31" s="7">
        <v>5</v>
      </c>
      <c r="I31" s="13">
        <f>G31*H31</f>
        <v>650</v>
      </c>
      <c r="J31" s="7" t="s">
        <v>8</v>
      </c>
      <c r="K31" s="7" t="str">
        <f>IF(G31&gt;=500,"HIGH","STANDARD")</f>
        <v>STANDARD</v>
      </c>
      <c r="L31" s="2"/>
    </row>
    <row r="32" spans="1:15" ht="15.75" customHeight="1" x14ac:dyDescent="0.25">
      <c r="A32" s="11" t="str">
        <f>LEFT(D32,2)</f>
        <v>02</v>
      </c>
      <c r="B32" s="11" t="str">
        <f>RIGHT(D32,2)</f>
        <v>CA</v>
      </c>
      <c r="C32" s="11" t="str">
        <f>MID(D32,4,6)</f>
        <v>DEC-CA</v>
      </c>
      <c r="D32" s="14" t="s">
        <v>86</v>
      </c>
      <c r="E32" s="8" t="s">
        <v>87</v>
      </c>
      <c r="F32" s="8" t="s">
        <v>88</v>
      </c>
      <c r="G32" s="10">
        <v>50</v>
      </c>
      <c r="H32" s="8">
        <v>50</v>
      </c>
      <c r="I32" s="13">
        <f>G32*H32</f>
        <v>2500</v>
      </c>
      <c r="J32" s="8" t="s">
        <v>12</v>
      </c>
      <c r="K32" s="7" t="str">
        <f>IF(G32&gt;=500,"HIGH","STANDARD")</f>
        <v>STANDARD</v>
      </c>
      <c r="L32" s="2"/>
    </row>
    <row r="33" spans="1:12" ht="15.75" customHeight="1" x14ac:dyDescent="0.25">
      <c r="A33" s="11" t="str">
        <f>LEFT(D33,2)</f>
        <v>09</v>
      </c>
      <c r="B33" s="11" t="str">
        <f>RIGHT(D33,2)</f>
        <v>FR</v>
      </c>
      <c r="C33" s="11" t="str">
        <f>MID(D33,4,6)</f>
        <v>JUL-FR</v>
      </c>
      <c r="D33" s="14" t="s">
        <v>89</v>
      </c>
      <c r="E33" s="8" t="s">
        <v>90</v>
      </c>
      <c r="F33" s="8" t="s">
        <v>91</v>
      </c>
      <c r="G33" s="10">
        <v>100</v>
      </c>
      <c r="H33" s="8">
        <v>20</v>
      </c>
      <c r="I33" s="13">
        <f>G33*H33</f>
        <v>2000</v>
      </c>
      <c r="J33" s="8" t="s">
        <v>52</v>
      </c>
      <c r="K33" s="7" t="str">
        <f>IF(G33&gt;=500,"HIGH","STANDARD")</f>
        <v>STANDARD</v>
      </c>
      <c r="L33" s="2"/>
    </row>
    <row r="34" spans="1:12" ht="15.75" customHeight="1" x14ac:dyDescent="0.25">
      <c r="E34"/>
      <c r="F34"/>
      <c r="G34"/>
      <c r="H34"/>
      <c r="I34"/>
      <c r="L34" s="2"/>
    </row>
    <row r="35" spans="1:12" ht="15.75" customHeight="1" x14ac:dyDescent="0.25">
      <c r="E35"/>
      <c r="F35"/>
      <c r="G35"/>
      <c r="H35"/>
      <c r="I35"/>
      <c r="L35" s="2"/>
    </row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conditionalFormatting sqref="E2:E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balaji</dc:creator>
  <cp:lastModifiedBy>prasanna1997balaji@gmail.com</cp:lastModifiedBy>
  <dcterms:created xsi:type="dcterms:W3CDTF">2026-04-24T14:02:49Z</dcterms:created>
  <dcterms:modified xsi:type="dcterms:W3CDTF">2026-04-26T17:26:39Z</dcterms:modified>
</cp:coreProperties>
</file>